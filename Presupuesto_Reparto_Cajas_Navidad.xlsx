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  <sheet name="Supuestos" sheetId="2" state="visible" r:id="rId4"/>
    <sheet name="Destinos" sheetId="3" state="visible" r:id="rId5"/>
    <sheet name="Tram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<sst xmlns="http://schemas.openxmlformats.org/spreadsheetml/2006/main" count="336" uniqueCount="126">
  <si>
    <t xml:space="preserve">Presupuesto reparto cajas navideñas – Foton (pesos, sin IVA)</t>
  </si>
  <si>
    <t xml:space="preserve">Esquema recomendado: 3 viajes</t>
  </si>
  <si>
    <t xml:space="preserve">Código</t>
  </si>
  <si>
    <t xml:space="preserve">Viaje</t>
  </si>
  <si>
    <t xml:space="preserve">Cajas</t>
  </si>
  <si>
    <t xml:space="preserve">Km totales</t>
  </si>
  <si>
    <t xml:space="preserve">Días extra (paradas)</t>
  </si>
  <si>
    <t xml:space="preserve">Días totales</t>
  </si>
  <si>
    <t xml:space="preserve">Gasoil</t>
  </si>
  <si>
    <t xml:space="preserve">Cubiertas y mant.</t>
  </si>
  <si>
    <t xml:space="preserve">Amort. y seguro</t>
  </si>
  <si>
    <t xml:space="preserve">Chofer (sueldo + viático)</t>
  </si>
  <si>
    <t xml:space="preserve">Peajes</t>
  </si>
  <si>
    <t xml:space="preserve">Costo total</t>
  </si>
  <si>
    <t xml:space="preserve">Costo $/km</t>
  </si>
  <si>
    <t xml:space="preserve">Precio mínimo</t>
  </si>
  <si>
    <t xml:space="preserve">Precio máximo</t>
  </si>
  <si>
    <t xml:space="preserve">Precio medio</t>
  </si>
  <si>
    <t xml:space="preserve">Precio medio por caja</t>
  </si>
  <si>
    <t xml:space="preserve">V1</t>
  </si>
  <si>
    <t xml:space="preserve">Costa, Sur y Cuyo</t>
  </si>
  <si>
    <t xml:space="preserve">V2</t>
  </si>
  <si>
    <t xml:space="preserve">Litoral y NEA</t>
  </si>
  <si>
    <t xml:space="preserve">V3</t>
  </si>
  <si>
    <t xml:space="preserve">NOA</t>
  </si>
  <si>
    <t xml:space="preserve">TOTAL</t>
  </si>
  <si>
    <t xml:space="preserve">Alternativa: 2 viajes</t>
  </si>
  <si>
    <t xml:space="preserve">VB</t>
  </si>
  <si>
    <t xml:space="preserve">Litoral + NEA + NOA</t>
  </si>
  <si>
    <t xml:space="preserve">Cómo usar: editá los supuestos (hoja Supuestos), los km (hoja Tramos) o los días extra por paradas (columna E, amarillo).</t>
  </si>
  <si>
    <t xml:space="preserve">Cajas: se toman de la hoja Destinos según el código de viaje. Rafaela (Cortassa) está a definir: si se cae, poné 0 cajas y sacá el desvío en Tramos.</t>
  </si>
  <si>
    <t xml:space="preserve">Días totales = días de manejo (km ÷ km por día, redondeado para arriba) + días extra por paradas (p. ej., un día completo en Neuquén).</t>
  </si>
  <si>
    <t xml:space="preserve">Precio mínimo / máximo = costo × (1 + margen). El precio medio es el valor sugerido para presupuestar. No incluye IVA.</t>
  </si>
  <si>
    <t xml:space="preserve">Presupuesto reparto cajas navideñas – Foton</t>
  </si>
  <si>
    <t xml:space="preserve">Celdas en azul con fondo amarillo = supuestos editables. Todo lo demás se calcula solo. Valores en pesos, sin IVA.</t>
  </si>
  <si>
    <t xml:space="preserve">Supuesto</t>
  </si>
  <si>
    <t xml:space="preserve">Valor</t>
  </si>
  <si>
    <t xml:space="preserve">Unidad</t>
  </si>
  <si>
    <t xml:space="preserve">Fuente / comentario</t>
  </si>
  <si>
    <t xml:space="preserve">Precio gasoil</t>
  </si>
  <si>
    <t xml:space="preserve">$/litro</t>
  </si>
  <si>
    <t xml:space="preserve">YPF CABA ~$2.176/L desde 26/09/2026 (naftahoy.com / La Nación). Actualizar con precio del día.</t>
  </si>
  <si>
    <t xml:space="preserve">Consumo Foton</t>
  </si>
  <si>
    <t xml:space="preserve">litros/100 km</t>
  </si>
  <si>
    <t xml:space="preserve">Estimado camión liviano cargado. Reemplazar por consumo real.</t>
  </si>
  <si>
    <t xml:space="preserve">Cubiertas, mantenimiento y lubricantes</t>
  </si>
  <si>
    <t xml:space="preserve">$/km</t>
  </si>
  <si>
    <t xml:space="preserve">Estimado propio.</t>
  </si>
  <si>
    <t xml:space="preserve">Amortización, seguro y patente</t>
  </si>
  <si>
    <t xml:space="preserve">Estimado propio. Reemplazar por costo real del Foton.</t>
  </si>
  <si>
    <t xml:space="preserve">Estimado propio promedio por km.</t>
  </si>
  <si>
    <t xml:space="preserve">Sueldo chofer con cargas sociales</t>
  </si>
  <si>
    <t xml:space="preserve">$/día</t>
  </si>
  <si>
    <t xml:space="preserve">Estimado propio. Reemplazar por costo real.</t>
  </si>
  <si>
    <t xml:space="preserve">Viáticos chofer (comida + alojamiento)</t>
  </si>
  <si>
    <t xml:space="preserve">Km recorridos por día</t>
  </si>
  <si>
    <t xml:space="preserve">km/día</t>
  </si>
  <si>
    <t xml:space="preserve">Ruta + repartos urbanos.</t>
  </si>
  <si>
    <t xml:space="preserve">Margen mínimo sobre costo</t>
  </si>
  <si>
    <t xml:space="preserve">%</t>
  </si>
  <si>
    <t xml:space="preserve">Precio piso.</t>
  </si>
  <si>
    <t xml:space="preserve">Margen máximo sobre costo</t>
  </si>
  <si>
    <t xml:space="preserve">Precio techo. Mercado minifletes ~$1.870–2.500/km (cargasxl.com, 06/2026).</t>
  </si>
  <si>
    <t xml:space="preserve">Nota: el costo de transporte subió ~41% interanual (índice FADEEAC, sep-2026). Revisar supuestos si el presupuesto se aprueba más adelante.</t>
  </si>
  <si>
    <t xml:space="preserve">Provincia / Zona</t>
  </si>
  <si>
    <t xml:space="preserve">Dirección</t>
  </si>
  <si>
    <t xml:space="preserve">Viaje (esquema 3 viajes)</t>
  </si>
  <si>
    <t xml:space="preserve">Viaje (esquema 2 viajes)</t>
  </si>
  <si>
    <t xml:space="preserve">Bahía Blanca</t>
  </si>
  <si>
    <t xml:space="preserve">Alsina 144</t>
  </si>
  <si>
    <t xml:space="preserve">O Higgins 51</t>
  </si>
  <si>
    <t xml:space="preserve">Sarmiento 2153</t>
  </si>
  <si>
    <t xml:space="preserve">Catamarca</t>
  </si>
  <si>
    <t xml:space="preserve">Av. Pres. Arturo Illia 997, SF del Valle de Catamarca</t>
  </si>
  <si>
    <t xml:space="preserve">Chaco</t>
  </si>
  <si>
    <t xml:space="preserve">CBC, Güemes 165, Resistencia</t>
  </si>
  <si>
    <t xml:space="preserve">Entre Ríos</t>
  </si>
  <si>
    <t xml:space="preserve">Gral. José de San Martín 1071, Paraná</t>
  </si>
  <si>
    <t xml:space="preserve">Formosa</t>
  </si>
  <si>
    <t xml:space="preserve">España 112, Formosa</t>
  </si>
  <si>
    <t xml:space="preserve">Jujuy</t>
  </si>
  <si>
    <t xml:space="preserve">ABI, Gral. Belgrano 563, San Salvador de Jujuy</t>
  </si>
  <si>
    <t xml:space="preserve">Mar del Plata</t>
  </si>
  <si>
    <t xml:space="preserve">Castelli 1309 esq. Güemes</t>
  </si>
  <si>
    <t xml:space="preserve">Sarmiento 2685</t>
  </si>
  <si>
    <t xml:space="preserve">Mendoza</t>
  </si>
  <si>
    <t xml:space="preserve">Av. San Martín 1229 (Julieriaque Mendoza Centro)</t>
  </si>
  <si>
    <t xml:space="preserve">Av. San Martín Sur 2875, Godoy Cruz (Palmares Shopping)</t>
  </si>
  <si>
    <t xml:space="preserve">Lateral Norte Acceso Este 3280, Local 038, Guaymallén (MDZ Plaza Shopping)</t>
  </si>
  <si>
    <t xml:space="preserve">Neuquén</t>
  </si>
  <si>
    <t xml:space="preserve">Antártida Argentina 1111 (Farmacia del Pueblo - Paseo de la Patagonia)</t>
  </si>
  <si>
    <t xml:space="preserve">Av. Dr. Ramón 355 (Alto Comahue Shopping)</t>
  </si>
  <si>
    <t xml:space="preserve">Intendente Vicente Chrestia 784 (La Anónima)</t>
  </si>
  <si>
    <t xml:space="preserve">J. J. Lastra 2400, Local 1155 (Portal Patagonia Shopping)</t>
  </si>
  <si>
    <t xml:space="preserve">San Martín 99</t>
  </si>
  <si>
    <t xml:space="preserve">Río Negro</t>
  </si>
  <si>
    <t xml:space="preserve">España 252, Cipolletti</t>
  </si>
  <si>
    <t xml:space="preserve">Salta</t>
  </si>
  <si>
    <t xml:space="preserve">Av. del Bicentenario de la Batalla de Salta 702 (Alto NOA Shopping)</t>
  </si>
  <si>
    <t xml:space="preserve">Rotonda Av. Mons. Tavella y Av. Ex Combatientes de Malvinas (El Balcón)</t>
  </si>
  <si>
    <t xml:space="preserve">San Juan</t>
  </si>
  <si>
    <t xml:space="preserve">Av. Circunvalación y Scalabrini Ortiz Nte. (Paseo San Juan)</t>
  </si>
  <si>
    <t xml:space="preserve">B. Rivadavia Oeste 22</t>
  </si>
  <si>
    <t xml:space="preserve">Santa Fe</t>
  </si>
  <si>
    <t xml:space="preserve">Junín 501, Local 0073, Rosario (Alto Rosario Shopping)</t>
  </si>
  <si>
    <t xml:space="preserve">Belgrano 2086, Esperanza</t>
  </si>
  <si>
    <t xml:space="preserve">Cortassa Rafaela (cerrado, a definir)</t>
  </si>
  <si>
    <t xml:space="preserve">Dique 1, Santa Fe (Ribera Shopping)</t>
  </si>
  <si>
    <t xml:space="preserve">San Martín 2472, Santa Fe</t>
  </si>
  <si>
    <t xml:space="preserve">Tucumán</t>
  </si>
  <si>
    <t xml:space="preserve">25 de Mayo 222, San Miguel de Tucumán</t>
  </si>
  <si>
    <t xml:space="preserve">Cariola 42, San Miguel de Tucumán (Portal Tucumán)</t>
  </si>
  <si>
    <t xml:space="preserve">Podés mover un destino de viaje cambiando el código en las columnas D/E (V1, V2, V3, VB).</t>
  </si>
  <si>
    <t xml:space="preserve">Desde</t>
  </si>
  <si>
    <t xml:space="preserve">Hasta</t>
  </si>
  <si>
    <t xml:space="preserve">Km</t>
  </si>
  <si>
    <t xml:space="preserve">CABA</t>
  </si>
  <si>
    <t xml:space="preserve">Cipolletti</t>
  </si>
  <si>
    <t xml:space="preserve">Repartos urbanos</t>
  </si>
  <si>
    <t xml:space="preserve">(todas las ciudades)</t>
  </si>
  <si>
    <t xml:space="preserve">Rosario</t>
  </si>
  <si>
    <t xml:space="preserve">Rafaela</t>
  </si>
  <si>
    <t xml:space="preserve">Esperanza</t>
  </si>
  <si>
    <t xml:space="preserve">Paraná (ida y vuelta)</t>
  </si>
  <si>
    <t xml:space="preserve">Resistencia</t>
  </si>
  <si>
    <t xml:space="preserve">Km por ruta estimados (aprox.). Reemplazá con los de tu ruteo real; el presupuesto se recalcula solo.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</si>
</sst>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\$#,##0;&quot;($&quot;#,##0\);\-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9" min="7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6" min="14" style="0" width="15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5" hidden="false" customHeight="false" outlineLevel="0" collapsed="false">
      <c r="A5" s="4" t="s">
        <v>19</v>
      </c>
      <c r="B5" s="4" t="s">
        <v>20</v>
      </c>
      <c r="C5" s="5" t="n">
        <f aca="false">SUMIFS(Destinos!$C$2:$C$31,Destinos!$D$2:$D$31,A5)</f>
        <v>36</v>
      </c>
      <c r="D5" s="5" t="n">
        <f aca="false">SUMIFS(Tramos!$D$2:$D$39,Tramos!$A$2:$A$39,A5)</f>
        <v>3600</v>
      </c>
      <c r="E5" s="6" t="n">
        <v>1</v>
      </c>
      <c r="F5" s="7" t="n">
        <f aca="false">ROUNDUP(D5/Supuestos!$B$12,0)+E5</f>
        <v>7</v>
      </c>
      <c r="G5" s="8" t="n">
        <f aca="false">D5*Supuestos!$B$6/100*Supuestos!$B$5</f>
        <v>1346400</v>
      </c>
      <c r="H5" s="8" t="n">
        <f aca="false">D5*Supuestos!$B$7</f>
        <v>540000</v>
      </c>
      <c r="I5" s="8" t="n">
        <f aca="false">D5*Supuestos!$B$8</f>
        <v>720000</v>
      </c>
      <c r="J5" s="8" t="n">
        <f aca="false">F5*(Supuestos!$B$10+Supuestos!$B$11)</f>
        <v>1470000</v>
      </c>
      <c r="K5" s="8" t="n">
        <f aca="false">D5*Supuestos!$B$9</f>
        <v>72000</v>
      </c>
      <c r="L5" s="8" t="n">
        <f aca="false">SUM(G5:K5)</f>
        <v>4148400</v>
      </c>
      <c r="M5" s="8" t="n">
        <f aca="false">IF(D5=0,0,L5/D5)</f>
        <v>1152.33333333333</v>
      </c>
      <c r="N5" s="8" t="n">
        <f aca="false">L5*(1+Supuestos!$B$13)</f>
        <v>5807760</v>
      </c>
      <c r="O5" s="8" t="n">
        <f aca="false">L5*(1+Supuestos!$B$14)</f>
        <v>8296800</v>
      </c>
      <c r="P5" s="8" t="n">
        <f aca="false">AVERAGE(N5:O5)</f>
        <v>7052280</v>
      </c>
      <c r="Q5" s="8" t="n">
        <f aca="false">IF(C5=0,0,P5/C5)</f>
        <v>195896.666666667</v>
      </c>
    </row>
    <row r="6" customFormat="false" ht="15" hidden="false" customHeight="false" outlineLevel="0" collapsed="false">
      <c r="A6" s="4" t="s">
        <v>21</v>
      </c>
      <c r="B6" s="4" t="s">
        <v>22</v>
      </c>
      <c r="C6" s="5" t="n">
        <f aca="false">SUMIFS(Destinos!$C$2:$C$31,Destinos!$D$2:$D$31,A6)</f>
        <v>17</v>
      </c>
      <c r="D6" s="5" t="n">
        <f aca="false">SUMIFS(Tramos!$D$2:$D$39,Tramos!$A$2:$A$39,A6)</f>
        <v>2610</v>
      </c>
      <c r="E6" s="6" t="n">
        <v>0</v>
      </c>
      <c r="F6" s="7" t="n">
        <f aca="false">ROUNDUP(D6/Supuestos!$B$12,0)+E6</f>
        <v>5</v>
      </c>
      <c r="G6" s="8" t="n">
        <f aca="false">D6*Supuestos!$B$6/100*Supuestos!$B$5</f>
        <v>976140</v>
      </c>
      <c r="H6" s="8" t="n">
        <f aca="false">D6*Supuestos!$B$7</f>
        <v>391500</v>
      </c>
      <c r="I6" s="8" t="n">
        <f aca="false">D6*Supuestos!$B$8</f>
        <v>522000</v>
      </c>
      <c r="J6" s="8" t="n">
        <f aca="false">F6*(Supuestos!$B$10+Supuestos!$B$11)</f>
        <v>1050000</v>
      </c>
      <c r="K6" s="8" t="n">
        <f aca="false">D6*Supuestos!$B$9</f>
        <v>52200</v>
      </c>
      <c r="L6" s="8" t="n">
        <f aca="false">SUM(G6:K6)</f>
        <v>2991840</v>
      </c>
      <c r="M6" s="8" t="n">
        <f aca="false">IF(D6=0,0,L6/D6)</f>
        <v>1146.29885057471</v>
      </c>
      <c r="N6" s="8" t="n">
        <f aca="false">L6*(1+Supuestos!$B$13)</f>
        <v>4188576</v>
      </c>
      <c r="O6" s="8" t="n">
        <f aca="false">L6*(1+Supuestos!$B$14)</f>
        <v>5983680</v>
      </c>
      <c r="P6" s="8" t="n">
        <f aca="false">AVERAGE(N6:O6)</f>
        <v>5086128</v>
      </c>
      <c r="Q6" s="8" t="n">
        <f aca="false">IF(C6=0,0,P6/C6)</f>
        <v>299184</v>
      </c>
    </row>
    <row r="7" customFormat="false" ht="15" hidden="false" customHeight="false" outlineLevel="0" collapsed="false">
      <c r="A7" s="4" t="s">
        <v>23</v>
      </c>
      <c r="B7" s="4" t="s">
        <v>24</v>
      </c>
      <c r="C7" s="5" t="n">
        <f aca="false">SUMIFS(Destinos!$C$2:$C$31,Destinos!$D$2:$D$31,A7)</f>
        <v>13</v>
      </c>
      <c r="D7" s="5" t="n">
        <f aca="false">SUMIFS(Tramos!$D$2:$D$39,Tramos!$A$2:$A$39,A7)</f>
        <v>3350</v>
      </c>
      <c r="E7" s="6" t="n">
        <v>0</v>
      </c>
      <c r="F7" s="7" t="n">
        <f aca="false">ROUNDUP(D7/Supuestos!$B$12,0)+E7</f>
        <v>6</v>
      </c>
      <c r="G7" s="8" t="n">
        <f aca="false">D7*Supuestos!$B$6/100*Supuestos!$B$5</f>
        <v>1252900</v>
      </c>
      <c r="H7" s="8" t="n">
        <f aca="false">D7*Supuestos!$B$7</f>
        <v>502500</v>
      </c>
      <c r="I7" s="8" t="n">
        <f aca="false">D7*Supuestos!$B$8</f>
        <v>670000</v>
      </c>
      <c r="J7" s="8" t="n">
        <f aca="false">F7*(Supuestos!$B$10+Supuestos!$B$11)</f>
        <v>1260000</v>
      </c>
      <c r="K7" s="8" t="n">
        <f aca="false">D7*Supuestos!$B$9</f>
        <v>67000</v>
      </c>
      <c r="L7" s="8" t="n">
        <f aca="false">SUM(G7:K7)</f>
        <v>3752400</v>
      </c>
      <c r="M7" s="8" t="n">
        <f aca="false">IF(D7=0,0,L7/D7)</f>
        <v>1120.11940298507</v>
      </c>
      <c r="N7" s="8" t="n">
        <f aca="false">L7*(1+Supuestos!$B$13)</f>
        <v>5253360</v>
      </c>
      <c r="O7" s="8" t="n">
        <f aca="false">L7*(1+Supuestos!$B$14)</f>
        <v>7504800</v>
      </c>
      <c r="P7" s="8" t="n">
        <f aca="false">AVERAGE(N7:O7)</f>
        <v>6379080</v>
      </c>
      <c r="Q7" s="8" t="n">
        <f aca="false">IF(C7=0,0,P7/C7)</f>
        <v>490698.461538462</v>
      </c>
    </row>
    <row r="8" customFormat="false" ht="15" hidden="false" customHeight="false" outlineLevel="0" collapsed="false">
      <c r="A8" s="9"/>
      <c r="B8" s="9" t="s">
        <v>25</v>
      </c>
      <c r="C8" s="10" t="n">
        <f aca="false">SUM(C5:C7)</f>
        <v>66</v>
      </c>
      <c r="D8" s="10" t="n">
        <f aca="false">SUM(D5:D7)</f>
        <v>9560</v>
      </c>
      <c r="E8" s="10"/>
      <c r="F8" s="10" t="n">
        <f aca="false">SUM(F5:F7)</f>
        <v>18</v>
      </c>
      <c r="G8" s="11" t="n">
        <f aca="false">SUM(G5:G7)</f>
        <v>3575440</v>
      </c>
      <c r="H8" s="11" t="n">
        <f aca="false">SUM(H5:H7)</f>
        <v>1434000</v>
      </c>
      <c r="I8" s="11" t="n">
        <f aca="false">SUM(I5:I7)</f>
        <v>1912000</v>
      </c>
      <c r="J8" s="11" t="n">
        <f aca="false">SUM(J5:J7)</f>
        <v>3780000</v>
      </c>
      <c r="K8" s="11" t="n">
        <f aca="false">SUM(K5:K7)</f>
        <v>191200</v>
      </c>
      <c r="L8" s="11" t="n">
        <f aca="false">SUM(L5:L7)</f>
        <v>10892640</v>
      </c>
      <c r="M8" s="11" t="n">
        <f aca="false">IF(D8=0,0,L8/D8)</f>
        <v>1139.39748953975</v>
      </c>
      <c r="N8" s="11" t="n">
        <f aca="false">SUM(N5:N7)</f>
        <v>15249696</v>
      </c>
      <c r="O8" s="11" t="n">
        <f aca="false">SUM(O5:O7)</f>
        <v>21785280</v>
      </c>
      <c r="P8" s="11" t="n">
        <f aca="false">SUM(P5:P7)</f>
        <v>18517488</v>
      </c>
      <c r="Q8" s="11" t="n">
        <f aca="false">IF(C8=0,0,P8/C8)</f>
        <v>280568</v>
      </c>
    </row>
    <row r="11" customFormat="false" ht="15" hidden="false" customHeight="false" outlineLevel="0" collapsed="false">
      <c r="A11" s="2" t="s">
        <v>26</v>
      </c>
    </row>
    <row r="12" customFormat="false" ht="26.85" hidden="false" customHeight="false" outlineLevel="0" collapsed="false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9</v>
      </c>
      <c r="I12" s="3" t="s">
        <v>10</v>
      </c>
      <c r="J12" s="3" t="s">
        <v>11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  <c r="P12" s="3" t="s">
        <v>17</v>
      </c>
      <c r="Q12" s="3" t="s">
        <v>18</v>
      </c>
    </row>
    <row r="13" customFormat="false" ht="15" hidden="false" customHeight="false" outlineLevel="0" collapsed="false">
      <c r="A13" s="4" t="s">
        <v>19</v>
      </c>
      <c r="B13" s="4" t="s">
        <v>20</v>
      </c>
      <c r="C13" s="5" t="n">
        <f aca="false">SUMIFS(Destinos!$C$2:$C$31,Destinos!$E$2:$E$31,A13)</f>
        <v>36</v>
      </c>
      <c r="D13" s="5" t="n">
        <f aca="false">SUMIFS(Tramos!$D$2:$D$39,Tramos!$A$2:$A$39,A13)</f>
        <v>3600</v>
      </c>
      <c r="E13" s="6" t="n">
        <v>1</v>
      </c>
      <c r="F13" s="7" t="n">
        <f aca="false">ROUNDUP(D13/Supuestos!$B$12,0)+E13</f>
        <v>7</v>
      </c>
      <c r="G13" s="8" t="n">
        <f aca="false">D13*Supuestos!$B$6/100*Supuestos!$B$5</f>
        <v>1346400</v>
      </c>
      <c r="H13" s="8" t="n">
        <f aca="false">D13*Supuestos!$B$7</f>
        <v>540000</v>
      </c>
      <c r="I13" s="8" t="n">
        <f aca="false">D13*Supuestos!$B$8</f>
        <v>720000</v>
      </c>
      <c r="J13" s="8" t="n">
        <f aca="false">F13*(Supuestos!$B$10+Supuestos!$B$11)</f>
        <v>1470000</v>
      </c>
      <c r="K13" s="8" t="n">
        <f aca="false">D13*Supuestos!$B$9</f>
        <v>72000</v>
      </c>
      <c r="L13" s="8" t="n">
        <f aca="false">SUM(G13:K13)</f>
        <v>4148400</v>
      </c>
      <c r="M13" s="8" t="n">
        <f aca="false">IF(D13=0,0,L13/D13)</f>
        <v>1152.33333333333</v>
      </c>
      <c r="N13" s="8" t="n">
        <f aca="false">L13*(1+Supuestos!$B$13)</f>
        <v>5807760</v>
      </c>
      <c r="O13" s="8" t="n">
        <f aca="false">L13*(1+Supuestos!$B$14)</f>
        <v>8296800</v>
      </c>
      <c r="P13" s="8" t="n">
        <f aca="false">AVERAGE(N13:O13)</f>
        <v>7052280</v>
      </c>
      <c r="Q13" s="8" t="n">
        <f aca="false">IF(C13=0,0,P13/C13)</f>
        <v>195896.666666667</v>
      </c>
    </row>
    <row r="14" customFormat="false" ht="15" hidden="false" customHeight="false" outlineLevel="0" collapsed="false">
      <c r="A14" s="4" t="s">
        <v>27</v>
      </c>
      <c r="B14" s="4" t="s">
        <v>28</v>
      </c>
      <c r="C14" s="5" t="n">
        <f aca="false">SUMIFS(Destinos!$C$2:$C$31,Destinos!$E$2:$E$31,A14)</f>
        <v>30</v>
      </c>
      <c r="D14" s="5" t="n">
        <f aca="false">SUMIFS(Tramos!$D$2:$D$39,Tramos!$A$2:$A$39,A14)</f>
        <v>4330</v>
      </c>
      <c r="E14" s="6" t="n">
        <v>1</v>
      </c>
      <c r="F14" s="7" t="n">
        <f aca="false">ROUNDUP(D14/Supuestos!$B$12,0)+E14</f>
        <v>9</v>
      </c>
      <c r="G14" s="8" t="n">
        <f aca="false">D14*Supuestos!$B$6/100*Supuestos!$B$5</f>
        <v>1619420</v>
      </c>
      <c r="H14" s="8" t="n">
        <f aca="false">D14*Supuestos!$B$7</f>
        <v>649500</v>
      </c>
      <c r="I14" s="8" t="n">
        <f aca="false">D14*Supuestos!$B$8</f>
        <v>866000</v>
      </c>
      <c r="J14" s="8" t="n">
        <f aca="false">F14*(Supuestos!$B$10+Supuestos!$B$11)</f>
        <v>1890000</v>
      </c>
      <c r="K14" s="8" t="n">
        <f aca="false">D14*Supuestos!$B$9</f>
        <v>86600</v>
      </c>
      <c r="L14" s="8" t="n">
        <f aca="false">SUM(G14:K14)</f>
        <v>5111520</v>
      </c>
      <c r="M14" s="8" t="n">
        <f aca="false">IF(D14=0,0,L14/D14)</f>
        <v>1180.4896073903</v>
      </c>
      <c r="N14" s="8" t="n">
        <f aca="false">L14*(1+Supuestos!$B$13)</f>
        <v>7156128</v>
      </c>
      <c r="O14" s="8" t="n">
        <f aca="false">L14*(1+Supuestos!$B$14)</f>
        <v>10223040</v>
      </c>
      <c r="P14" s="8" t="n">
        <f aca="false">AVERAGE(N14:O14)</f>
        <v>8689584</v>
      </c>
      <c r="Q14" s="8" t="n">
        <f aca="false">IF(C14=0,0,P14/C14)</f>
        <v>289652.8</v>
      </c>
    </row>
    <row r="15" customFormat="false" ht="15" hidden="false" customHeight="false" outlineLevel="0" collapsed="false">
      <c r="A15" s="9"/>
      <c r="B15" s="9" t="s">
        <v>25</v>
      </c>
      <c r="C15" s="10" t="n">
        <f aca="false">SUM(C13:C14)</f>
        <v>66</v>
      </c>
      <c r="D15" s="10" t="n">
        <f aca="false">SUM(D13:D14)</f>
        <v>7930</v>
      </c>
      <c r="E15" s="10"/>
      <c r="F15" s="10" t="n">
        <f aca="false">SUM(F13:F14)</f>
        <v>16</v>
      </c>
      <c r="G15" s="11" t="n">
        <f aca="false">SUM(G13:G14)</f>
        <v>2965820</v>
      </c>
      <c r="H15" s="11" t="n">
        <f aca="false">SUM(H13:H14)</f>
        <v>1189500</v>
      </c>
      <c r="I15" s="11" t="n">
        <f aca="false">SUM(I13:I14)</f>
        <v>1586000</v>
      </c>
      <c r="J15" s="11" t="n">
        <f aca="false">SUM(J13:J14)</f>
        <v>3360000</v>
      </c>
      <c r="K15" s="11" t="n">
        <f aca="false">SUM(K13:K14)</f>
        <v>158600</v>
      </c>
      <c r="L15" s="11" t="n">
        <f aca="false">SUM(L13:L14)</f>
        <v>9259920</v>
      </c>
      <c r="M15" s="11" t="n">
        <f aca="false">IF(D15=0,0,L15/D15)</f>
        <v>1167.70744010088</v>
      </c>
      <c r="N15" s="11" t="n">
        <f aca="false">SUM(N13:N14)</f>
        <v>12963888</v>
      </c>
      <c r="O15" s="11" t="n">
        <f aca="false">SUM(O13:O14)</f>
        <v>18519840</v>
      </c>
      <c r="P15" s="11" t="n">
        <f aca="false">SUM(P13:P14)</f>
        <v>15741864</v>
      </c>
      <c r="Q15" s="11" t="n">
        <f aca="false">IF(C15=0,0,P15/C15)</f>
        <v>238513.090909091</v>
      </c>
    </row>
    <row r="17" customFormat="false" ht="15" hidden="false" customHeight="false" outlineLevel="0" collapsed="false">
      <c r="A17" s="12" t="s">
        <v>29</v>
      </c>
    </row>
    <row r="18" customFormat="false" ht="15" hidden="false" customHeight="false" outlineLevel="0" collapsed="false">
      <c r="A18" s="12" t="s">
        <v>30</v>
      </c>
    </row>
    <row r="19" customFormat="false" ht="15" hidden="false" customHeight="false" outlineLevel="0" collapsed="false">
      <c r="A19" s="12" t="s">
        <v>31</v>
      </c>
    </row>
    <row r="20" customFormat="false" ht="15" hidden="false" customHeight="false" outlineLevel="0" collapsed="false">
      <c r="A20" s="1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12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37</v>
      </c>
      <c r="D4" s="3" t="s">
        <v>38</v>
      </c>
    </row>
    <row r="5" customFormat="false" ht="15" hidden="false" customHeight="false" outlineLevel="0" collapsed="false">
      <c r="A5" s="4" t="s">
        <v>39</v>
      </c>
      <c r="B5" s="13" t="n">
        <v>2200</v>
      </c>
      <c r="C5" s="4" t="s">
        <v>40</v>
      </c>
      <c r="D5" s="4" t="s">
        <v>41</v>
      </c>
    </row>
    <row r="6" customFormat="false" ht="15" hidden="false" customHeight="false" outlineLevel="0" collapsed="false">
      <c r="A6" s="4" t="s">
        <v>42</v>
      </c>
      <c r="B6" s="6" t="n">
        <v>17</v>
      </c>
      <c r="C6" s="4" t="s">
        <v>43</v>
      </c>
      <c r="D6" s="4" t="s">
        <v>44</v>
      </c>
    </row>
    <row r="7" customFormat="false" ht="15" hidden="false" customHeight="false" outlineLevel="0" collapsed="false">
      <c r="A7" s="4" t="s">
        <v>45</v>
      </c>
      <c r="B7" s="13" t="n">
        <v>150</v>
      </c>
      <c r="C7" s="4" t="s">
        <v>46</v>
      </c>
      <c r="D7" s="4" t="s">
        <v>47</v>
      </c>
    </row>
    <row r="8" customFormat="false" ht="15" hidden="false" customHeight="false" outlineLevel="0" collapsed="false">
      <c r="A8" s="4" t="s">
        <v>48</v>
      </c>
      <c r="B8" s="13" t="n">
        <v>200</v>
      </c>
      <c r="C8" s="4" t="s">
        <v>46</v>
      </c>
      <c r="D8" s="4" t="s">
        <v>49</v>
      </c>
    </row>
    <row r="9" customFormat="false" ht="15" hidden="false" customHeight="false" outlineLevel="0" collapsed="false">
      <c r="A9" s="4" t="s">
        <v>12</v>
      </c>
      <c r="B9" s="13" t="n">
        <v>20</v>
      </c>
      <c r="C9" s="4" t="s">
        <v>46</v>
      </c>
      <c r="D9" s="4" t="s">
        <v>50</v>
      </c>
    </row>
    <row r="10" customFormat="false" ht="15" hidden="false" customHeight="false" outlineLevel="0" collapsed="false">
      <c r="A10" s="4" t="s">
        <v>51</v>
      </c>
      <c r="B10" s="13" t="n">
        <v>130000</v>
      </c>
      <c r="C10" s="4" t="s">
        <v>52</v>
      </c>
      <c r="D10" s="4" t="s">
        <v>53</v>
      </c>
    </row>
    <row r="11" customFormat="false" ht="15" hidden="false" customHeight="false" outlineLevel="0" collapsed="false">
      <c r="A11" s="4" t="s">
        <v>54</v>
      </c>
      <c r="B11" s="13" t="n">
        <v>80000</v>
      </c>
      <c r="C11" s="4" t="s">
        <v>52</v>
      </c>
      <c r="D11" s="4" t="s">
        <v>47</v>
      </c>
    </row>
    <row r="12" customFormat="false" ht="15" hidden="false" customHeight="false" outlineLevel="0" collapsed="false">
      <c r="A12" s="4" t="s">
        <v>55</v>
      </c>
      <c r="B12" s="6" t="n">
        <v>600</v>
      </c>
      <c r="C12" s="4" t="s">
        <v>56</v>
      </c>
      <c r="D12" s="4" t="s">
        <v>57</v>
      </c>
    </row>
    <row r="13" customFormat="false" ht="15" hidden="false" customHeight="false" outlineLevel="0" collapsed="false">
      <c r="A13" s="4" t="s">
        <v>58</v>
      </c>
      <c r="B13" s="14" t="n">
        <v>0.4</v>
      </c>
      <c r="C13" s="4" t="s">
        <v>59</v>
      </c>
      <c r="D13" s="4" t="s">
        <v>60</v>
      </c>
    </row>
    <row r="14" customFormat="false" ht="15" hidden="false" customHeight="false" outlineLevel="0" collapsed="false">
      <c r="A14" s="4" t="s">
        <v>61</v>
      </c>
      <c r="B14" s="14" t="n">
        <v>1</v>
      </c>
      <c r="C14" s="4" t="s">
        <v>59</v>
      </c>
      <c r="D14" s="4" t="s">
        <v>62</v>
      </c>
    </row>
    <row r="17" customFormat="false" ht="15" hidden="false" customHeight="false" outlineLevel="0" collapsed="false">
      <c r="A17" s="1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5" min="4" style="0" width="14"/>
  </cols>
  <sheetData>
    <row r="1" customFormat="false" ht="39.55" hidden="false" customHeight="false" outlineLevel="0" collapsed="false">
      <c r="A1" s="3" t="s">
        <v>64</v>
      </c>
      <c r="B1" s="3" t="s">
        <v>65</v>
      </c>
      <c r="C1" s="3" t="s">
        <v>4</v>
      </c>
      <c r="D1" s="3" t="s">
        <v>66</v>
      </c>
      <c r="E1" s="3" t="s">
        <v>67</v>
      </c>
    </row>
    <row r="2" customFormat="false" ht="15" hidden="false" customHeight="false" outlineLevel="0" collapsed="false">
      <c r="A2" s="4" t="s">
        <v>68</v>
      </c>
      <c r="B2" s="4" t="s">
        <v>69</v>
      </c>
      <c r="C2" s="15" t="n">
        <v>1</v>
      </c>
      <c r="D2" s="15" t="s">
        <v>19</v>
      </c>
      <c r="E2" s="15" t="s">
        <v>19</v>
      </c>
    </row>
    <row r="3" customFormat="false" ht="15" hidden="false" customHeight="false" outlineLevel="0" collapsed="false">
      <c r="A3" s="4" t="s">
        <v>68</v>
      </c>
      <c r="B3" s="4" t="s">
        <v>70</v>
      </c>
      <c r="C3" s="15" t="n">
        <v>1</v>
      </c>
      <c r="D3" s="15" t="s">
        <v>19</v>
      </c>
      <c r="E3" s="15" t="s">
        <v>19</v>
      </c>
    </row>
    <row r="4" customFormat="false" ht="15" hidden="false" customHeight="false" outlineLevel="0" collapsed="false">
      <c r="A4" s="4" t="s">
        <v>68</v>
      </c>
      <c r="B4" s="4" t="s">
        <v>71</v>
      </c>
      <c r="C4" s="15" t="n">
        <v>2</v>
      </c>
      <c r="D4" s="15" t="s">
        <v>19</v>
      </c>
      <c r="E4" s="15" t="s">
        <v>19</v>
      </c>
    </row>
    <row r="5" customFormat="false" ht="15" hidden="false" customHeight="false" outlineLevel="0" collapsed="false">
      <c r="A5" s="4" t="s">
        <v>72</v>
      </c>
      <c r="B5" s="4" t="s">
        <v>73</v>
      </c>
      <c r="C5" s="15" t="n">
        <v>1</v>
      </c>
      <c r="D5" s="15" t="s">
        <v>23</v>
      </c>
      <c r="E5" s="15" t="s">
        <v>27</v>
      </c>
    </row>
    <row r="6" customFormat="false" ht="15" hidden="false" customHeight="false" outlineLevel="0" collapsed="false">
      <c r="A6" s="4" t="s">
        <v>74</v>
      </c>
      <c r="B6" s="4" t="s">
        <v>75</v>
      </c>
      <c r="C6" s="15" t="n">
        <v>3</v>
      </c>
      <c r="D6" s="15" t="s">
        <v>21</v>
      </c>
      <c r="E6" s="15" t="s">
        <v>27</v>
      </c>
    </row>
    <row r="7" customFormat="false" ht="15" hidden="false" customHeight="false" outlineLevel="0" collapsed="false">
      <c r="A7" s="4" t="s">
        <v>76</v>
      </c>
      <c r="B7" s="4" t="s">
        <v>77</v>
      </c>
      <c r="C7" s="15" t="n">
        <v>2</v>
      </c>
      <c r="D7" s="15" t="s">
        <v>21</v>
      </c>
      <c r="E7" s="15" t="s">
        <v>27</v>
      </c>
    </row>
    <row r="8" customFormat="false" ht="15" hidden="false" customHeight="false" outlineLevel="0" collapsed="false">
      <c r="A8" s="4" t="s">
        <v>78</v>
      </c>
      <c r="B8" s="4" t="s">
        <v>79</v>
      </c>
      <c r="C8" s="15" t="n">
        <v>2</v>
      </c>
      <c r="D8" s="15" t="s">
        <v>21</v>
      </c>
      <c r="E8" s="15" t="s">
        <v>27</v>
      </c>
    </row>
    <row r="9" customFormat="false" ht="15" hidden="false" customHeight="false" outlineLevel="0" collapsed="false">
      <c r="A9" s="4" t="s">
        <v>80</v>
      </c>
      <c r="B9" s="4" t="s">
        <v>81</v>
      </c>
      <c r="C9" s="15" t="n">
        <v>2</v>
      </c>
      <c r="D9" s="15" t="s">
        <v>23</v>
      </c>
      <c r="E9" s="15" t="s">
        <v>27</v>
      </c>
    </row>
    <row r="10" customFormat="false" ht="15" hidden="false" customHeight="false" outlineLevel="0" collapsed="false">
      <c r="A10" s="4" t="s">
        <v>82</v>
      </c>
      <c r="B10" s="4" t="s">
        <v>83</v>
      </c>
      <c r="C10" s="15" t="n">
        <v>1</v>
      </c>
      <c r="D10" s="15" t="s">
        <v>19</v>
      </c>
      <c r="E10" s="15" t="s">
        <v>19</v>
      </c>
    </row>
    <row r="11" customFormat="false" ht="15" hidden="false" customHeight="false" outlineLevel="0" collapsed="false">
      <c r="A11" s="4" t="s">
        <v>82</v>
      </c>
      <c r="B11" s="4" t="s">
        <v>84</v>
      </c>
      <c r="C11" s="15" t="n">
        <v>2</v>
      </c>
      <c r="D11" s="15" t="s">
        <v>19</v>
      </c>
      <c r="E11" s="15" t="s">
        <v>19</v>
      </c>
    </row>
    <row r="12" customFormat="false" ht="15" hidden="false" customHeight="false" outlineLevel="0" collapsed="false">
      <c r="A12" s="4" t="s">
        <v>85</v>
      </c>
      <c r="B12" s="4" t="s">
        <v>86</v>
      </c>
      <c r="C12" s="15" t="n">
        <v>1</v>
      </c>
      <c r="D12" s="15" t="s">
        <v>19</v>
      </c>
      <c r="E12" s="15" t="s">
        <v>19</v>
      </c>
    </row>
    <row r="13" customFormat="false" ht="15" hidden="false" customHeight="false" outlineLevel="0" collapsed="false">
      <c r="A13" s="4" t="s">
        <v>85</v>
      </c>
      <c r="B13" s="4" t="s">
        <v>87</v>
      </c>
      <c r="C13" s="15" t="n">
        <v>4</v>
      </c>
      <c r="D13" s="15" t="s">
        <v>19</v>
      </c>
      <c r="E13" s="15" t="s">
        <v>19</v>
      </c>
    </row>
    <row r="14" customFormat="false" ht="15" hidden="false" customHeight="false" outlineLevel="0" collapsed="false">
      <c r="A14" s="4" t="s">
        <v>85</v>
      </c>
      <c r="B14" s="4" t="s">
        <v>88</v>
      </c>
      <c r="C14" s="15" t="n">
        <v>2</v>
      </c>
      <c r="D14" s="15" t="s">
        <v>19</v>
      </c>
      <c r="E14" s="15" t="s">
        <v>19</v>
      </c>
    </row>
    <row r="15" customFormat="false" ht="15" hidden="false" customHeight="false" outlineLevel="0" collapsed="false">
      <c r="A15" s="4" t="s">
        <v>89</v>
      </c>
      <c r="B15" s="4" t="s">
        <v>90</v>
      </c>
      <c r="C15" s="15" t="n">
        <v>1</v>
      </c>
      <c r="D15" s="15" t="s">
        <v>19</v>
      </c>
      <c r="E15" s="15" t="s">
        <v>19</v>
      </c>
    </row>
    <row r="16" customFormat="false" ht="15" hidden="false" customHeight="false" outlineLevel="0" collapsed="false">
      <c r="A16" s="4" t="s">
        <v>89</v>
      </c>
      <c r="B16" s="4" t="s">
        <v>91</v>
      </c>
      <c r="C16" s="15" t="n">
        <v>7</v>
      </c>
      <c r="D16" s="15" t="s">
        <v>19</v>
      </c>
      <c r="E16" s="15" t="s">
        <v>19</v>
      </c>
    </row>
    <row r="17" customFormat="false" ht="15" hidden="false" customHeight="false" outlineLevel="0" collapsed="false">
      <c r="A17" s="4" t="s">
        <v>89</v>
      </c>
      <c r="B17" s="4" t="s">
        <v>92</v>
      </c>
      <c r="C17" s="15" t="n">
        <v>1</v>
      </c>
      <c r="D17" s="15" t="s">
        <v>19</v>
      </c>
      <c r="E17" s="15" t="s">
        <v>19</v>
      </c>
    </row>
    <row r="18" customFormat="false" ht="15" hidden="false" customHeight="false" outlineLevel="0" collapsed="false">
      <c r="A18" s="4" t="s">
        <v>89</v>
      </c>
      <c r="B18" s="4" t="s">
        <v>93</v>
      </c>
      <c r="C18" s="15" t="n">
        <v>4</v>
      </c>
      <c r="D18" s="15" t="s">
        <v>19</v>
      </c>
      <c r="E18" s="15" t="s">
        <v>19</v>
      </c>
    </row>
    <row r="19" customFormat="false" ht="15" hidden="false" customHeight="false" outlineLevel="0" collapsed="false">
      <c r="A19" s="4" t="s">
        <v>89</v>
      </c>
      <c r="B19" s="4" t="s">
        <v>94</v>
      </c>
      <c r="C19" s="15" t="n">
        <v>4</v>
      </c>
      <c r="D19" s="15" t="s">
        <v>19</v>
      </c>
      <c r="E19" s="15" t="s">
        <v>19</v>
      </c>
    </row>
    <row r="20" customFormat="false" ht="15" hidden="false" customHeight="false" outlineLevel="0" collapsed="false">
      <c r="A20" s="4" t="s">
        <v>95</v>
      </c>
      <c r="B20" s="4" t="s">
        <v>96</v>
      </c>
      <c r="C20" s="15" t="n">
        <v>1</v>
      </c>
      <c r="D20" s="15" t="s">
        <v>19</v>
      </c>
      <c r="E20" s="15" t="s">
        <v>19</v>
      </c>
    </row>
    <row r="21" customFormat="false" ht="15" hidden="false" customHeight="false" outlineLevel="0" collapsed="false">
      <c r="A21" s="4" t="s">
        <v>97</v>
      </c>
      <c r="B21" s="4" t="s">
        <v>98</v>
      </c>
      <c r="C21" s="15" t="n">
        <v>3</v>
      </c>
      <c r="D21" s="15" t="s">
        <v>23</v>
      </c>
      <c r="E21" s="15" t="s">
        <v>27</v>
      </c>
    </row>
    <row r="22" customFormat="false" ht="15" hidden="false" customHeight="false" outlineLevel="0" collapsed="false">
      <c r="A22" s="4" t="s">
        <v>97</v>
      </c>
      <c r="B22" s="4" t="s">
        <v>99</v>
      </c>
      <c r="C22" s="15" t="n">
        <v>2</v>
      </c>
      <c r="D22" s="15" t="s">
        <v>23</v>
      </c>
      <c r="E22" s="15" t="s">
        <v>27</v>
      </c>
    </row>
    <row r="23" customFormat="false" ht="15" hidden="false" customHeight="false" outlineLevel="0" collapsed="false">
      <c r="A23" s="4" t="s">
        <v>100</v>
      </c>
      <c r="B23" s="4" t="s">
        <v>101</v>
      </c>
      <c r="C23" s="15" t="n">
        <v>1</v>
      </c>
      <c r="D23" s="15" t="s">
        <v>19</v>
      </c>
      <c r="E23" s="15" t="s">
        <v>19</v>
      </c>
    </row>
    <row r="24" customFormat="false" ht="15" hidden="false" customHeight="false" outlineLevel="0" collapsed="false">
      <c r="A24" s="4" t="s">
        <v>100</v>
      </c>
      <c r="B24" s="4" t="s">
        <v>102</v>
      </c>
      <c r="C24" s="15" t="n">
        <v>3</v>
      </c>
      <c r="D24" s="15" t="s">
        <v>19</v>
      </c>
      <c r="E24" s="15" t="s">
        <v>19</v>
      </c>
    </row>
    <row r="25" customFormat="false" ht="15" hidden="false" customHeight="false" outlineLevel="0" collapsed="false">
      <c r="A25" s="4" t="s">
        <v>103</v>
      </c>
      <c r="B25" s="4" t="s">
        <v>104</v>
      </c>
      <c r="C25" s="15" t="n">
        <v>2</v>
      </c>
      <c r="D25" s="15" t="s">
        <v>21</v>
      </c>
      <c r="E25" s="15" t="s">
        <v>27</v>
      </c>
    </row>
    <row r="26" customFormat="false" ht="15" hidden="false" customHeight="false" outlineLevel="0" collapsed="false">
      <c r="A26" s="4" t="s">
        <v>103</v>
      </c>
      <c r="B26" s="4" t="s">
        <v>105</v>
      </c>
      <c r="C26" s="15" t="n">
        <v>2</v>
      </c>
      <c r="D26" s="15" t="s">
        <v>21</v>
      </c>
      <c r="E26" s="15" t="s">
        <v>27</v>
      </c>
    </row>
    <row r="27" customFormat="false" ht="15" hidden="false" customHeight="false" outlineLevel="0" collapsed="false">
      <c r="A27" s="4" t="s">
        <v>103</v>
      </c>
      <c r="B27" s="4" t="s">
        <v>106</v>
      </c>
      <c r="C27" s="15" t="n">
        <v>1</v>
      </c>
      <c r="D27" s="15" t="s">
        <v>21</v>
      </c>
      <c r="E27" s="15" t="s">
        <v>27</v>
      </c>
    </row>
    <row r="28" customFormat="false" ht="15" hidden="false" customHeight="false" outlineLevel="0" collapsed="false">
      <c r="A28" s="4" t="s">
        <v>103</v>
      </c>
      <c r="B28" s="4" t="s">
        <v>107</v>
      </c>
      <c r="C28" s="15" t="n">
        <v>1</v>
      </c>
      <c r="D28" s="15" t="s">
        <v>21</v>
      </c>
      <c r="E28" s="15" t="s">
        <v>27</v>
      </c>
    </row>
    <row r="29" customFormat="false" ht="15" hidden="false" customHeight="false" outlineLevel="0" collapsed="false">
      <c r="A29" s="4" t="s">
        <v>103</v>
      </c>
      <c r="B29" s="4" t="s">
        <v>108</v>
      </c>
      <c r="C29" s="15" t="n">
        <v>4</v>
      </c>
      <c r="D29" s="15" t="s">
        <v>21</v>
      </c>
      <c r="E29" s="15" t="s">
        <v>27</v>
      </c>
    </row>
    <row r="30" customFormat="false" ht="15" hidden="false" customHeight="false" outlineLevel="0" collapsed="false">
      <c r="A30" s="4" t="s">
        <v>109</v>
      </c>
      <c r="B30" s="4" t="s">
        <v>110</v>
      </c>
      <c r="C30" s="15" t="n">
        <v>2</v>
      </c>
      <c r="D30" s="15" t="s">
        <v>23</v>
      </c>
      <c r="E30" s="15" t="s">
        <v>27</v>
      </c>
    </row>
    <row r="31" customFormat="false" ht="15" hidden="false" customHeight="false" outlineLevel="0" collapsed="false">
      <c r="A31" s="4" t="s">
        <v>109</v>
      </c>
      <c r="B31" s="4" t="s">
        <v>111</v>
      </c>
      <c r="C31" s="15" t="n">
        <v>3</v>
      </c>
      <c r="D31" s="15" t="s">
        <v>23</v>
      </c>
      <c r="E31" s="15" t="s">
        <v>27</v>
      </c>
    </row>
    <row r="32" customFormat="false" ht="15" hidden="false" customHeight="false" outlineLevel="0" collapsed="false">
      <c r="A32" s="9" t="s">
        <v>25</v>
      </c>
      <c r="B32" s="16"/>
      <c r="C32" s="9" t="n">
        <f aca="false">SUM(C2:C31)</f>
        <v>66</v>
      </c>
      <c r="D32" s="16"/>
      <c r="E32" s="16"/>
    </row>
    <row r="34" customFormat="false" ht="15" hidden="false" customHeight="false" outlineLevel="0" collapsed="false">
      <c r="A34" s="1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3" t="s">
        <v>3</v>
      </c>
      <c r="B1" s="3" t="s">
        <v>113</v>
      </c>
      <c r="C1" s="3" t="s">
        <v>114</v>
      </c>
      <c r="D1" s="3" t="s">
        <v>115</v>
      </c>
    </row>
    <row r="2" customFormat="false" ht="15" hidden="false" customHeight="false" outlineLevel="0" collapsed="false">
      <c r="A2" s="4" t="s">
        <v>19</v>
      </c>
      <c r="B2" s="4" t="s">
        <v>116</v>
      </c>
      <c r="C2" s="4" t="s">
        <v>82</v>
      </c>
      <c r="D2" s="17" t="n">
        <v>400</v>
      </c>
    </row>
    <row r="3" customFormat="false" ht="15" hidden="false" customHeight="false" outlineLevel="0" collapsed="false">
      <c r="A3" s="4" t="s">
        <v>19</v>
      </c>
      <c r="B3" s="4" t="s">
        <v>82</v>
      </c>
      <c r="C3" s="4" t="s">
        <v>68</v>
      </c>
      <c r="D3" s="17" t="n">
        <v>470</v>
      </c>
    </row>
    <row r="4" customFormat="false" ht="15" hidden="false" customHeight="false" outlineLevel="0" collapsed="false">
      <c r="A4" s="4" t="s">
        <v>19</v>
      </c>
      <c r="B4" s="4" t="s">
        <v>68</v>
      </c>
      <c r="C4" s="4" t="s">
        <v>89</v>
      </c>
      <c r="D4" s="17" t="n">
        <v>540</v>
      </c>
    </row>
    <row r="5" customFormat="false" ht="15" hidden="false" customHeight="false" outlineLevel="0" collapsed="false">
      <c r="A5" s="4" t="s">
        <v>19</v>
      </c>
      <c r="B5" s="4" t="s">
        <v>89</v>
      </c>
      <c r="C5" s="4" t="s">
        <v>117</v>
      </c>
      <c r="D5" s="17" t="n">
        <v>15</v>
      </c>
    </row>
    <row r="6" customFormat="false" ht="15" hidden="false" customHeight="false" outlineLevel="0" collapsed="false">
      <c r="A6" s="4" t="s">
        <v>19</v>
      </c>
      <c r="B6" s="4" t="s">
        <v>117</v>
      </c>
      <c r="C6" s="4" t="s">
        <v>85</v>
      </c>
      <c r="D6" s="17" t="n">
        <v>800</v>
      </c>
    </row>
    <row r="7" customFormat="false" ht="15" hidden="false" customHeight="false" outlineLevel="0" collapsed="false">
      <c r="A7" s="4" t="s">
        <v>19</v>
      </c>
      <c r="B7" s="4" t="s">
        <v>85</v>
      </c>
      <c r="C7" s="4" t="s">
        <v>100</v>
      </c>
      <c r="D7" s="17" t="n">
        <v>170</v>
      </c>
    </row>
    <row r="8" customFormat="false" ht="15" hidden="false" customHeight="false" outlineLevel="0" collapsed="false">
      <c r="A8" s="4" t="s">
        <v>19</v>
      </c>
      <c r="B8" s="4" t="s">
        <v>100</v>
      </c>
      <c r="C8" s="4" t="s">
        <v>116</v>
      </c>
      <c r="D8" s="17" t="n">
        <v>1140</v>
      </c>
    </row>
    <row r="9" customFormat="false" ht="15" hidden="false" customHeight="false" outlineLevel="0" collapsed="false">
      <c r="A9" s="4" t="s">
        <v>19</v>
      </c>
      <c r="B9" s="4" t="s">
        <v>118</v>
      </c>
      <c r="C9" s="4" t="s">
        <v>119</v>
      </c>
      <c r="D9" s="17" t="n">
        <v>65</v>
      </c>
    </row>
    <row r="10" customFormat="false" ht="15" hidden="false" customHeight="false" outlineLevel="0" collapsed="false">
      <c r="A10" s="4" t="s">
        <v>21</v>
      </c>
      <c r="B10" s="4" t="s">
        <v>116</v>
      </c>
      <c r="C10" s="4" t="s">
        <v>120</v>
      </c>
      <c r="D10" s="17" t="n">
        <v>300</v>
      </c>
    </row>
    <row r="11" customFormat="false" ht="15" hidden="false" customHeight="false" outlineLevel="0" collapsed="false">
      <c r="A11" s="4" t="s">
        <v>21</v>
      </c>
      <c r="B11" s="4" t="s">
        <v>120</v>
      </c>
      <c r="C11" s="4" t="s">
        <v>121</v>
      </c>
      <c r="D11" s="17" t="n">
        <v>230</v>
      </c>
    </row>
    <row r="12" customFormat="false" ht="15" hidden="false" customHeight="false" outlineLevel="0" collapsed="false">
      <c r="A12" s="4" t="s">
        <v>21</v>
      </c>
      <c r="B12" s="4" t="s">
        <v>121</v>
      </c>
      <c r="C12" s="4" t="s">
        <v>122</v>
      </c>
      <c r="D12" s="17" t="n">
        <v>70</v>
      </c>
    </row>
    <row r="13" customFormat="false" ht="15" hidden="false" customHeight="false" outlineLevel="0" collapsed="false">
      <c r="A13" s="4" t="s">
        <v>21</v>
      </c>
      <c r="B13" s="4" t="s">
        <v>122</v>
      </c>
      <c r="C13" s="4" t="s">
        <v>103</v>
      </c>
      <c r="D13" s="17" t="n">
        <v>40</v>
      </c>
    </row>
    <row r="14" customFormat="false" ht="15" hidden="false" customHeight="false" outlineLevel="0" collapsed="false">
      <c r="A14" s="4" t="s">
        <v>21</v>
      </c>
      <c r="B14" s="4" t="s">
        <v>103</v>
      </c>
      <c r="C14" s="4" t="s">
        <v>123</v>
      </c>
      <c r="D14" s="17" t="n">
        <v>60</v>
      </c>
    </row>
    <row r="15" customFormat="false" ht="15" hidden="false" customHeight="false" outlineLevel="0" collapsed="false">
      <c r="A15" s="4" t="s">
        <v>21</v>
      </c>
      <c r="B15" s="4" t="s">
        <v>103</v>
      </c>
      <c r="C15" s="4" t="s">
        <v>124</v>
      </c>
      <c r="D15" s="17" t="n">
        <v>540</v>
      </c>
    </row>
    <row r="16" customFormat="false" ht="15" hidden="false" customHeight="false" outlineLevel="0" collapsed="false">
      <c r="A16" s="4" t="s">
        <v>21</v>
      </c>
      <c r="B16" s="4" t="s">
        <v>124</v>
      </c>
      <c r="C16" s="4" t="s">
        <v>78</v>
      </c>
      <c r="D16" s="17" t="n">
        <v>170</v>
      </c>
    </row>
    <row r="17" customFormat="false" ht="15" hidden="false" customHeight="false" outlineLevel="0" collapsed="false">
      <c r="A17" s="4" t="s">
        <v>21</v>
      </c>
      <c r="B17" s="4" t="s">
        <v>78</v>
      </c>
      <c r="C17" s="4" t="s">
        <v>116</v>
      </c>
      <c r="D17" s="17" t="n">
        <v>1160</v>
      </c>
    </row>
    <row r="18" customFormat="false" ht="15" hidden="false" customHeight="false" outlineLevel="0" collapsed="false">
      <c r="A18" s="4" t="s">
        <v>21</v>
      </c>
      <c r="B18" s="4" t="s">
        <v>118</v>
      </c>
      <c r="C18" s="4" t="s">
        <v>119</v>
      </c>
      <c r="D18" s="17" t="n">
        <v>40</v>
      </c>
    </row>
    <row r="19" customFormat="false" ht="15" hidden="false" customHeight="false" outlineLevel="0" collapsed="false">
      <c r="A19" s="4" t="s">
        <v>23</v>
      </c>
      <c r="B19" s="4" t="s">
        <v>116</v>
      </c>
      <c r="C19" s="4" t="s">
        <v>72</v>
      </c>
      <c r="D19" s="17" t="n">
        <v>1130</v>
      </c>
    </row>
    <row r="20" customFormat="false" ht="15" hidden="false" customHeight="false" outlineLevel="0" collapsed="false">
      <c r="A20" s="4" t="s">
        <v>23</v>
      </c>
      <c r="B20" s="4" t="s">
        <v>72</v>
      </c>
      <c r="C20" s="4" t="s">
        <v>109</v>
      </c>
      <c r="D20" s="17" t="n">
        <v>230</v>
      </c>
    </row>
    <row r="21" customFormat="false" ht="15" hidden="false" customHeight="false" outlineLevel="0" collapsed="false">
      <c r="A21" s="4" t="s">
        <v>23</v>
      </c>
      <c r="B21" s="4" t="s">
        <v>109</v>
      </c>
      <c r="C21" s="4" t="s">
        <v>97</v>
      </c>
      <c r="D21" s="17" t="n">
        <v>310</v>
      </c>
    </row>
    <row r="22" customFormat="false" ht="15" hidden="false" customHeight="false" outlineLevel="0" collapsed="false">
      <c r="A22" s="4" t="s">
        <v>23</v>
      </c>
      <c r="B22" s="4" t="s">
        <v>97</v>
      </c>
      <c r="C22" s="4" t="s">
        <v>80</v>
      </c>
      <c r="D22" s="17" t="n">
        <v>100</v>
      </c>
    </row>
    <row r="23" customFormat="false" ht="15" hidden="false" customHeight="false" outlineLevel="0" collapsed="false">
      <c r="A23" s="4" t="s">
        <v>23</v>
      </c>
      <c r="B23" s="4" t="s">
        <v>80</v>
      </c>
      <c r="C23" s="4" t="s">
        <v>116</v>
      </c>
      <c r="D23" s="17" t="n">
        <v>1540</v>
      </c>
    </row>
    <row r="24" customFormat="false" ht="15" hidden="false" customHeight="false" outlineLevel="0" collapsed="false">
      <c r="A24" s="4" t="s">
        <v>23</v>
      </c>
      <c r="B24" s="4" t="s">
        <v>118</v>
      </c>
      <c r="C24" s="4" t="s">
        <v>119</v>
      </c>
      <c r="D24" s="17" t="n">
        <v>40</v>
      </c>
    </row>
    <row r="25" customFormat="false" ht="15" hidden="false" customHeight="false" outlineLevel="0" collapsed="false">
      <c r="A25" s="4" t="s">
        <v>27</v>
      </c>
      <c r="B25" s="4" t="s">
        <v>116</v>
      </c>
      <c r="C25" s="4" t="s">
        <v>120</v>
      </c>
      <c r="D25" s="17" t="n">
        <v>300</v>
      </c>
    </row>
    <row r="26" customFormat="false" ht="15" hidden="false" customHeight="false" outlineLevel="0" collapsed="false">
      <c r="A26" s="4" t="s">
        <v>27</v>
      </c>
      <c r="B26" s="4" t="s">
        <v>120</v>
      </c>
      <c r="C26" s="4" t="s">
        <v>121</v>
      </c>
      <c r="D26" s="17" t="n">
        <v>230</v>
      </c>
    </row>
    <row r="27" customFormat="false" ht="15" hidden="false" customHeight="false" outlineLevel="0" collapsed="false">
      <c r="A27" s="4" t="s">
        <v>27</v>
      </c>
      <c r="B27" s="4" t="s">
        <v>121</v>
      </c>
      <c r="C27" s="4" t="s">
        <v>122</v>
      </c>
      <c r="D27" s="17" t="n">
        <v>70</v>
      </c>
    </row>
    <row r="28" customFormat="false" ht="15" hidden="false" customHeight="false" outlineLevel="0" collapsed="false">
      <c r="A28" s="4" t="s">
        <v>27</v>
      </c>
      <c r="B28" s="4" t="s">
        <v>122</v>
      </c>
      <c r="C28" s="4" t="s">
        <v>103</v>
      </c>
      <c r="D28" s="17" t="n">
        <v>40</v>
      </c>
    </row>
    <row r="29" customFormat="false" ht="15" hidden="false" customHeight="false" outlineLevel="0" collapsed="false">
      <c r="A29" s="4" t="s">
        <v>27</v>
      </c>
      <c r="B29" s="4" t="s">
        <v>103</v>
      </c>
      <c r="C29" s="4" t="s">
        <v>123</v>
      </c>
      <c r="D29" s="17" t="n">
        <v>60</v>
      </c>
    </row>
    <row r="30" customFormat="false" ht="15" hidden="false" customHeight="false" outlineLevel="0" collapsed="false">
      <c r="A30" s="4" t="s">
        <v>27</v>
      </c>
      <c r="B30" s="4" t="s">
        <v>103</v>
      </c>
      <c r="C30" s="4" t="s">
        <v>124</v>
      </c>
      <c r="D30" s="17" t="n">
        <v>540</v>
      </c>
    </row>
    <row r="31" customFormat="false" ht="15" hidden="false" customHeight="false" outlineLevel="0" collapsed="false">
      <c r="A31" s="4" t="s">
        <v>27</v>
      </c>
      <c r="B31" s="4" t="s">
        <v>124</v>
      </c>
      <c r="C31" s="4" t="s">
        <v>78</v>
      </c>
      <c r="D31" s="17" t="n">
        <v>170</v>
      </c>
    </row>
    <row r="32" customFormat="false" ht="15" hidden="false" customHeight="false" outlineLevel="0" collapsed="false">
      <c r="A32" s="4" t="s">
        <v>27</v>
      </c>
      <c r="B32" s="4" t="s">
        <v>78</v>
      </c>
      <c r="C32" s="4" t="s">
        <v>124</v>
      </c>
      <c r="D32" s="17" t="n">
        <v>170</v>
      </c>
    </row>
    <row r="33" customFormat="false" ht="15" hidden="false" customHeight="false" outlineLevel="0" collapsed="false">
      <c r="A33" s="4" t="s">
        <v>27</v>
      </c>
      <c r="B33" s="4" t="s">
        <v>124</v>
      </c>
      <c r="C33" s="4" t="s">
        <v>97</v>
      </c>
      <c r="D33" s="17" t="n">
        <v>800</v>
      </c>
    </row>
    <row r="34" customFormat="false" ht="15" hidden="false" customHeight="false" outlineLevel="0" collapsed="false">
      <c r="A34" s="4" t="s">
        <v>27</v>
      </c>
      <c r="B34" s="4" t="s">
        <v>97</v>
      </c>
      <c r="C34" s="4" t="s">
        <v>80</v>
      </c>
      <c r="D34" s="17" t="n">
        <v>100</v>
      </c>
    </row>
    <row r="35" customFormat="false" ht="15" hidden="false" customHeight="false" outlineLevel="0" collapsed="false">
      <c r="A35" s="4" t="s">
        <v>27</v>
      </c>
      <c r="B35" s="4" t="s">
        <v>80</v>
      </c>
      <c r="C35" s="4" t="s">
        <v>97</v>
      </c>
      <c r="D35" s="17" t="n">
        <v>100</v>
      </c>
    </row>
    <row r="36" customFormat="false" ht="15" hidden="false" customHeight="false" outlineLevel="0" collapsed="false">
      <c r="A36" s="4" t="s">
        <v>27</v>
      </c>
      <c r="B36" s="4" t="s">
        <v>97</v>
      </c>
      <c r="C36" s="4" t="s">
        <v>109</v>
      </c>
      <c r="D36" s="17" t="n">
        <v>310</v>
      </c>
    </row>
    <row r="37" customFormat="false" ht="15" hidden="false" customHeight="false" outlineLevel="0" collapsed="false">
      <c r="A37" s="4" t="s">
        <v>27</v>
      </c>
      <c r="B37" s="4" t="s">
        <v>109</v>
      </c>
      <c r="C37" s="4" t="s">
        <v>72</v>
      </c>
      <c r="D37" s="17" t="n">
        <v>230</v>
      </c>
    </row>
    <row r="38" customFormat="false" ht="15" hidden="false" customHeight="false" outlineLevel="0" collapsed="false">
      <c r="A38" s="4" t="s">
        <v>27</v>
      </c>
      <c r="B38" s="4" t="s">
        <v>72</v>
      </c>
      <c r="C38" s="4" t="s">
        <v>116</v>
      </c>
      <c r="D38" s="17" t="n">
        <v>1130</v>
      </c>
    </row>
    <row r="39" customFormat="false" ht="15" hidden="false" customHeight="false" outlineLevel="0" collapsed="false">
      <c r="A39" s="4" t="s">
        <v>27</v>
      </c>
      <c r="B39" s="4" t="s">
        <v>118</v>
      </c>
      <c r="C39" s="4" t="s">
        <v>119</v>
      </c>
      <c r="D39" s="17" t="n">
        <v>80</v>
      </c>
    </row>
    <row r="41" customFormat="false" ht="15" hidden="false" customHeight="false" outlineLevel="0" collapsed="false">
      <c r="A41" s="1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2026-10-28T17:18:36Z</dcterms:created>
  <dc:creator>openpyxl</dc:creator>
  <dc:description/>
  <dc:language>en-US</dc:language>
  <cp:lastModifiedBy/>
  <dcterms:modified xsi:type="dcterms:W3CDTF">2026-10-28T17:18:36Z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